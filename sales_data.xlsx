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d.docs.live.net/65f07b7fdb589a59/Documents/"/>
    </mc:Choice>
  </mc:AlternateContent>
  <xr:revisionPtr revIDLastSave="515" documentId="8_{24B53047-36BB-4799-80F0-29189EF12E8C}" xr6:coauthVersionLast="47" xr6:coauthVersionMax="47" xr10:uidLastSave="{49514621-B0CF-456D-B3E4-D37D8CB13EDE}"/>
  <bookViews>
    <workbookView xWindow="-108" yWindow="-108" windowWidth="23256" windowHeight="12456" activeTab="4" xr2:uid="{914C641E-C12E-462A-AAB6-31BE5869B0C5}"/>
  </bookViews>
  <sheets>
    <sheet name="Sheet1" sheetId="1" r:id="rId1"/>
    <sheet name="Sheet2" sheetId="2" r:id="rId2"/>
    <sheet name="raw data" sheetId="6" r:id="rId3"/>
    <sheet name="clean data" sheetId="11" r:id="rId4"/>
    <sheet name="pivot" sheetId="13" r:id="rId5"/>
    <sheet name="final data" sheetId="12" r:id="rId6"/>
  </sheets>
  <definedNames>
    <definedName name="Slicer_clean__Customer_Name">#N/A</definedName>
    <definedName name="Slicer_clean__Product">#N/A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2" l="1"/>
  <c r="H4" i="12"/>
  <c r="H5" i="12"/>
  <c r="H6" i="12"/>
  <c r="F3" i="11"/>
  <c r="F4" i="11"/>
  <c r="F5" i="11"/>
  <c r="F6" i="11"/>
  <c r="F7" i="11"/>
  <c r="F8" i="11"/>
  <c r="F2" i="11"/>
  <c r="H2" i="12"/>
  <c r="G3" i="11"/>
  <c r="G4" i="11"/>
  <c r="G5" i="11"/>
  <c r="G6" i="11"/>
  <c r="G7" i="11"/>
  <c r="G8" i="11"/>
  <c r="G2" i="11"/>
  <c r="E3" i="11"/>
  <c r="E4" i="11"/>
  <c r="E5" i="11"/>
  <c r="E6" i="11"/>
  <c r="E7" i="11"/>
  <c r="E8" i="11"/>
  <c r="E2" i="11"/>
  <c r="D3" i="11"/>
  <c r="D4" i="11"/>
  <c r="D5" i="11"/>
  <c r="D6" i="11"/>
  <c r="D7" i="11"/>
  <c r="D8" i="11"/>
  <c r="D2" i="11"/>
  <c r="C3" i="11"/>
  <c r="C4" i="11"/>
  <c r="C5" i="11"/>
  <c r="C6" i="11"/>
  <c r="C7" i="11"/>
  <c r="C8" i="11"/>
  <c r="C2" i="11"/>
  <c r="B3" i="11"/>
  <c r="B4" i="11"/>
  <c r="B5" i="11"/>
  <c r="B6" i="11"/>
  <c r="B7" i="11"/>
  <c r="B8" i="11"/>
  <c r="B2" i="11"/>
  <c r="M3" i="6"/>
  <c r="M4" i="6"/>
  <c r="M5" i="6"/>
  <c r="M6" i="6"/>
  <c r="M2" i="6"/>
  <c r="L3" i="6"/>
  <c r="L2" i="6"/>
  <c r="G7" i="2"/>
  <c r="F9" i="2"/>
  <c r="G9" i="2"/>
  <c r="H9" i="2"/>
  <c r="H3" i="2"/>
  <c r="H4" i="2"/>
  <c r="H5" i="2"/>
  <c r="H6" i="2"/>
  <c r="H7" i="2"/>
  <c r="H8" i="2"/>
  <c r="H2" i="2"/>
  <c r="G3" i="2"/>
  <c r="G4" i="2"/>
  <c r="G5" i="2"/>
  <c r="G6" i="2"/>
  <c r="G8" i="2"/>
  <c r="G2" i="2"/>
  <c r="F3" i="2"/>
  <c r="F4" i="2"/>
  <c r="F5" i="2"/>
  <c r="F6" i="2"/>
  <c r="F7" i="2"/>
  <c r="F8" i="2"/>
  <c r="F2" i="2"/>
</calcChain>
</file>

<file path=xl/sharedStrings.xml><?xml version="1.0" encoding="utf-8"?>
<sst xmlns="http://schemas.openxmlformats.org/spreadsheetml/2006/main" count="136" uniqueCount="71">
  <si>
    <t>Date</t>
  </si>
  <si>
    <t>Product</t>
  </si>
  <si>
    <t>Quantity</t>
  </si>
  <si>
    <t>Price</t>
  </si>
  <si>
    <t>Soap</t>
  </si>
  <si>
    <t>Shampoo</t>
  </si>
  <si>
    <t>Toothpaste</t>
  </si>
  <si>
    <t>clean_product</t>
  </si>
  <si>
    <t xml:space="preserve">Date        </t>
  </si>
  <si>
    <t xml:space="preserve"> Product        </t>
  </si>
  <si>
    <t xml:space="preserve"> Quantity </t>
  </si>
  <si>
    <t xml:space="preserve"> Price</t>
  </si>
  <si>
    <t xml:space="preserve">  Soap          </t>
  </si>
  <si>
    <t xml:space="preserve"> Shampoo        </t>
  </si>
  <si>
    <t xml:space="preserve"> Soap           </t>
  </si>
  <si>
    <t xml:space="preserve"> Toothpaste     </t>
  </si>
  <si>
    <t xml:space="preserve">  Shampoo       </t>
  </si>
  <si>
    <t xml:space="preserve"> one twenty</t>
  </si>
  <si>
    <t>clean_quantity</t>
  </si>
  <si>
    <t>clean_price</t>
  </si>
  <si>
    <t xml:space="preserve">Order_Date </t>
  </si>
  <si>
    <t xml:space="preserve"> Customer_Name   </t>
  </si>
  <si>
    <t xml:space="preserve"> Category   </t>
  </si>
  <si>
    <t xml:space="preserve"> Unit_Price </t>
  </si>
  <si>
    <t xml:space="preserve"> City</t>
  </si>
  <si>
    <t xml:space="preserve"> rakesh          </t>
  </si>
  <si>
    <t xml:space="preserve"> fmcg       </t>
  </si>
  <si>
    <t xml:space="preserve"> Hyderabad</t>
  </si>
  <si>
    <t xml:space="preserve"> Rakesh          </t>
  </si>
  <si>
    <t xml:space="preserve"> FMCG       </t>
  </si>
  <si>
    <t xml:space="preserve">  Hyderabad</t>
  </si>
  <si>
    <t xml:space="preserve"> Anil            </t>
  </si>
  <si>
    <t xml:space="preserve"> Mumbai</t>
  </si>
  <si>
    <t xml:space="preserve"> anil            </t>
  </si>
  <si>
    <t xml:space="preserve"> one twenty </t>
  </si>
  <si>
    <t xml:space="preserve"> Suresh          </t>
  </si>
  <si>
    <t xml:space="preserve"> Tooth paste    </t>
  </si>
  <si>
    <t xml:space="preserve"> Chennai</t>
  </si>
  <si>
    <t xml:space="preserve"> Mahesh          </t>
  </si>
  <si>
    <t xml:space="preserve"> Hair Oil       </t>
  </si>
  <si>
    <t xml:space="preserve"> bangalore</t>
  </si>
  <si>
    <t>clean_custmer</t>
  </si>
  <si>
    <t>clean_unit _price</t>
  </si>
  <si>
    <t>Tooth Paste</t>
  </si>
  <si>
    <t>Suresh</t>
  </si>
  <si>
    <t>invalid</t>
  </si>
  <si>
    <t>Anil</t>
  </si>
  <si>
    <t>Rakesh</t>
  </si>
  <si>
    <t>tempt</t>
  </si>
  <si>
    <t>Row Labels</t>
  </si>
  <si>
    <t>Grand Total</t>
  </si>
  <si>
    <t>total_amunt</t>
  </si>
  <si>
    <t xml:space="preserve">clean_Order_Date </t>
  </si>
  <si>
    <t xml:space="preserve">clean_ Customer_Name   </t>
  </si>
  <si>
    <t xml:space="preserve">clean_ Product        </t>
  </si>
  <si>
    <t xml:space="preserve">clean_ Category   </t>
  </si>
  <si>
    <t xml:space="preserve">clean_ Quantity </t>
  </si>
  <si>
    <t xml:space="preserve">clean_ Unit_Price </t>
  </si>
  <si>
    <t>clean_ City</t>
  </si>
  <si>
    <t>Fmcg</t>
  </si>
  <si>
    <t>Hyderabad</t>
  </si>
  <si>
    <t>Mumbai</t>
  </si>
  <si>
    <t>Chennai</t>
  </si>
  <si>
    <t>Mahesh</t>
  </si>
  <si>
    <t>Hair Oil</t>
  </si>
  <si>
    <t>Bangalore</t>
  </si>
  <si>
    <t xml:space="preserve">Sum of clean_ Quantity </t>
  </si>
  <si>
    <t>Total_amount</t>
  </si>
  <si>
    <t>(All)</t>
  </si>
  <si>
    <t>Sum of Total_amount</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</si>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</sst>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2" borderId="0" xfId="0" applyFont="1" applyFill="1" applyAlignment="1">
      <alignment horizontal="left"/>
    </xf>
    <xf numFmtId="0" fontId="1" fillId="2" borderId="0" xfId="0" applyFont="1" applyFill="1" applyAlignment="1">
      <alignment horizontal="center"/>
    </xf>
    <xf numFmtId="164" fontId="1" fillId="2" borderId="0" xfId="0" applyNumberFormat="1" applyFont="1" applyFill="1"/>
    <xf numFmtId="164" fontId="0" fillId="0" borderId="0" xfId="0" applyNumberFormat="1"/>
    <xf numFmtId="0" fontId="1" fillId="0" borderId="0" xfId="0" applyFont="1" applyAlignment="1">
      <alignment horizontal="left"/>
    </xf>
    <xf numFmtId="0" fontId="1" fillId="0" borderId="0" xfId="0" applyFont="1" applyAlignment="1">
      <alignment horizontal="center"/>
    </xf>
    <xf numFmtId="14" fontId="0" fillId="0" borderId="0" xfId="0" applyNumberFormat="1"/>
    <xf numFmtId="0" fontId="0" fillId="0" borderId="0" xfId="0" pivotButton="1"/>
    <xf numFmtId="0" fontId="0" fillId="0" borderId="0" xfId="0" applyAlignment="1">
      <alignment horizontal="left"/>
    </xf>
    <xf numFmtId="164" fontId="1" fillId="0" borderId="0" xfId="0" applyNumberFormat="1" applyFont="1"/>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righ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Total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6328484981044037"/>
          <c:w val="0.83767825896762904"/>
          <c:h val="0.52385498687664045"/>
        </c:manualLayout>
      </c:layout>
      <c:barChart>
        <c:barDir val="col"/>
        <c:grouping val="clustered"/>
        <c:varyColors val="0"/>
        <c:ser>
          <c:idx val="0"/>
          <c:order val="0"/>
          <c:tx>
            <c:strRef>
              <c:f>pivot!$I$3</c:f>
              <c:strCache>
                <c:ptCount val="1"/>
                <c:pt idx="0">
                  <c:v>Total</c:v>
                </c:pt>
              </c:strCache>
            </c:strRef>
          </c:tx>
          <c:spPr>
            <a:solidFill>
              <a:schemeClr val="accent2"/>
            </a:solidFill>
            <a:ln>
              <a:noFill/>
            </a:ln>
            <a:effectLst/>
          </c:spPr>
          <c:invertIfNegative val="0"/>
          <c:cat>
            <c:strRef>
              <c:f>pivot!$H$4:$H$8</c:f>
              <c:strCache>
                <c:ptCount val="4"/>
                <c:pt idx="0">
                  <c:v>Hair Oil</c:v>
                </c:pt>
                <c:pt idx="1">
                  <c:v>Tooth Paste</c:v>
                </c:pt>
                <c:pt idx="2">
                  <c:v>Soap</c:v>
                </c:pt>
                <c:pt idx="3">
                  <c:v>Shampoo</c:v>
                </c:pt>
              </c:strCache>
            </c:strRef>
          </c:cat>
          <c:val>
            <c:numRef>
              <c:f>pivot!$I$4:$I$8</c:f>
              <c:numCache>
                <c:formatCode>General</c:formatCode>
                <c:ptCount val="4"/>
                <c:pt idx="0">
                  <c:v>450</c:v>
                </c:pt>
                <c:pt idx="1">
                  <c:v>180</c:v>
                </c:pt>
                <c:pt idx="2">
                  <c:v>60</c:v>
                </c:pt>
                <c:pt idx="3">
                  <c:v>0</c:v>
                </c:pt>
              </c:numCache>
            </c:numRef>
          </c:val>
          <c:extLst>
            <c:ext xmlns:c16="http://schemas.microsoft.com/office/drawing/2014/chart" uri="{C3380CC4-5D6E-409C-BE32-E72D297353CC}">
              <c16:uniqueId val="{00000000-FD29-4F00-B46A-6132F2306B0C}"/>
            </c:ext>
          </c:extLst>
        </c:ser>
        <c:dLbls>
          <c:showLegendKey val="0"/>
          <c:showVal val="0"/>
          <c:showCatName val="0"/>
          <c:showSerName val="0"/>
          <c:showPercent val="0"/>
          <c:showBubbleSize val="0"/>
        </c:dLbls>
        <c:gapWidth val="219"/>
        <c:overlap val="-27"/>
        <c:axId val="2024277087"/>
        <c:axId val="2024274687"/>
      </c:barChart>
      <c:catAx>
        <c:axId val="20242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74687"/>
        <c:crosses val="autoZero"/>
        <c:auto val="1"/>
        <c:lblAlgn val="ctr"/>
        <c:lblOffset val="100"/>
        <c:noMultiLvlLbl val="0"/>
      </c:catAx>
      <c:valAx>
        <c:axId val="202427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7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pivot!$F$5</c:f>
              <c:strCache>
                <c:ptCount val="1"/>
                <c:pt idx="0">
                  <c:v>Total</c:v>
                </c:pt>
              </c:strCache>
            </c:strRef>
          </c:tx>
          <c:spPr>
            <a:solidFill>
              <a:schemeClr val="accent1"/>
            </a:solidFill>
            <a:ln>
              <a:noFill/>
            </a:ln>
            <a:effectLst/>
          </c:spPr>
          <c:invertIfNegative val="0"/>
          <c:cat>
            <c:strRef>
              <c:f>pivot!$E$6:$E$7</c:f>
              <c:strCache>
                <c:ptCount val="1"/>
                <c:pt idx="0">
                  <c:v>Rakesh</c:v>
                </c:pt>
              </c:strCache>
            </c:strRef>
          </c:cat>
          <c:val>
            <c:numRef>
              <c:f>pivot!$F$6:$F$7</c:f>
              <c:numCache>
                <c:formatCode>General</c:formatCode>
                <c:ptCount val="1"/>
                <c:pt idx="0">
                  <c:v>4</c:v>
                </c:pt>
              </c:numCache>
            </c:numRef>
          </c:val>
          <c:extLst>
            <c:ext xmlns:c16="http://schemas.microsoft.com/office/drawing/2014/chart" uri="{C3380CC4-5D6E-409C-BE32-E72D297353CC}">
              <c16:uniqueId val="{00000000-B4DC-449E-9625-F6C3FADB984B}"/>
            </c:ext>
          </c:extLst>
        </c:ser>
        <c:dLbls>
          <c:showLegendKey val="0"/>
          <c:showVal val="0"/>
          <c:showCatName val="0"/>
          <c:showSerName val="0"/>
          <c:showPercent val="0"/>
          <c:showBubbleSize val="0"/>
        </c:dLbls>
        <c:gapWidth val="182"/>
        <c:axId val="2025814879"/>
        <c:axId val="2025813439"/>
      </c:barChart>
      <c:catAx>
        <c:axId val="202581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13439"/>
        <c:crosses val="autoZero"/>
        <c:auto val="1"/>
        <c:lblAlgn val="ctr"/>
        <c:lblOffset val="100"/>
        <c:noMultiLvlLbl val="0"/>
      </c:catAx>
      <c:valAx>
        <c:axId val="202581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1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327660</xdr:colOff>
      <xdr:row>9</xdr:row>
      <xdr:rowOff>49530</xdr:rowOff>
    </xdr:from>
    <xdr:to>
      <xdr:col>9</xdr:col>
      <xdr:colOff>617220</xdr:colOff>
      <xdr:row>24</xdr:row>
      <xdr:rowOff>49530</xdr:rowOff>
    </xdr:to>
    <xdr:graphicFrame macro="">
      <xdr:nvGraphicFramePr>
        <xdr:cNvPr id="2" name="Chart 1">
          <a:extLst>
            <a:ext uri="{FF2B5EF4-FFF2-40B4-BE49-F238E27FC236}">
              <a16:creationId xmlns:a16="http://schemas.microsoft.com/office/drawing/2014/main" id="{903463A6-42A7-8841-7FA6-356A561FB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556260</xdr:colOff>
      <xdr:row>10</xdr:row>
      <xdr:rowOff>80010</xdr:rowOff>
    </xdr:from>
    <xdr:to>
      <xdr:col>5</xdr:col>
      <xdr:colOff>53340</xdr:colOff>
      <xdr:row>25</xdr:row>
      <xdr:rowOff>80010</xdr:rowOff>
    </xdr:to>
    <xdr:graphicFrame macro="">
      <xdr:nvGraphicFramePr>
        <xdr:cNvPr id="3" name="Chart 2">
          <a:extLst>
            <a:ext uri="{FF2B5EF4-FFF2-40B4-BE49-F238E27FC236}">
              <a16:creationId xmlns:a16="http://schemas.microsoft.com/office/drawing/2014/main" id="{07FE6EC9-CF32-6609-4450-CB034FE72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1303020</xdr:colOff>
      <xdr:row>26</xdr:row>
      <xdr:rowOff>91440</xdr:rowOff>
    </xdr:from>
    <xdr:to>
      <xdr:col>2</xdr:col>
      <xdr:colOff>137160</xdr:colOff>
      <xdr:row>39</xdr:row>
      <xdr:rowOff>180975</xdr:rowOff>
    </xdr:to>
    <mc:AlternateContent xmlns:mc="http://schemas.openxmlformats.org/markup-compatibility/2006">
      <mc:Choice xmlns:a14="http://schemas.microsoft.com/office/drawing/2010/main" Requires="a14">
        <xdr:graphicFrame macro="">
          <xdr:nvGraphicFramePr>
            <xdr:cNvPr id="4" name="clean_ Customer_Name   ">
              <a:extLst>
                <a:ext uri="{FF2B5EF4-FFF2-40B4-BE49-F238E27FC236}">
                  <a16:creationId xmlns:a16="http://schemas.microsoft.com/office/drawing/2014/main" id="{3C088BC1-1981-01CD-800D-8A3700AB584A}"/>
                </a:ext>
              </a:extLst>
            </xdr:cNvPr>
            <xdr:cNvGraphicFramePr/>
          </xdr:nvGraphicFramePr>
          <xdr:xfrm>
            <a:off x="0" y="0"/>
            <a:ext cx="0" cy="0"/>
          </xdr:xfrm>
          <a:graphic>
            <a:graphicData uri="http://schemas.microsoft.com/office/drawing/2010/slicer">
              <sle:slicer xmlns:sle="http://schemas.microsoft.com/office/drawing/2010/slicer" name="clean_ Customer_Name   "/>
            </a:graphicData>
          </a:graphic>
        </xdr:graphicFrame>
      </mc:Choice>
      <mc:Fallback>
        <xdr:sp macro="" textlink="">
          <xdr:nvSpPr>
            <xdr:cNvPr id="0" name=""/>
            <xdr:cNvSpPr>
              <a:spLocks noTextEdit="1"/>
            </xdr:cNvSpPr>
          </xdr:nvSpPr>
          <xdr:spPr>
            <a:xfrm>
              <a:off x="1303020" y="484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320040</xdr:colOff>
      <xdr:row>26</xdr:row>
      <xdr:rowOff>167640</xdr:rowOff>
    </xdr:from>
    <xdr:to>
      <xdr:col>5</xdr:col>
      <xdr:colOff>68580</xdr:colOff>
      <xdr:row>40</xdr:row>
      <xdr:rowOff>74295</xdr:rowOff>
    </xdr:to>
    <mc:AlternateContent xmlns:mc="http://schemas.openxmlformats.org/markup-compatibility/2006">
      <mc:Choice xmlns:a14="http://schemas.microsoft.com/office/drawing/2010/main" Requires="a14">
        <xdr:graphicFrame macro="">
          <xdr:nvGraphicFramePr>
            <xdr:cNvPr id="5" name="clean_ Product        ">
              <a:extLst>
                <a:ext uri="{FF2B5EF4-FFF2-40B4-BE49-F238E27FC236}">
                  <a16:creationId xmlns:a16="http://schemas.microsoft.com/office/drawing/2014/main" id="{F462AA95-4BCD-1A9F-D538-84B2723C358A}"/>
                </a:ext>
              </a:extLst>
            </xdr:cNvPr>
            <xdr:cNvGraphicFramePr/>
          </xdr:nvGraphicFramePr>
          <xdr:xfrm>
            <a:off x="0" y="0"/>
            <a:ext cx="0" cy="0"/>
          </xdr:xfrm>
          <a:graphic>
            <a:graphicData uri="http://schemas.microsoft.com/office/drawing/2010/slicer">
              <sle:slicer xmlns:sle="http://schemas.microsoft.com/office/drawing/2010/slicer" name="clean_ Product        "/>
            </a:graphicData>
          </a:graphic>
        </xdr:graphicFrame>
      </mc:Choice>
      <mc:Fallback>
        <xdr:sp macro="" textlink="">
          <xdr:nvSpPr>
            <xdr:cNvPr id="0" name=""/>
            <xdr:cNvSpPr>
              <a:spLocks noTextEdit="1"/>
            </xdr:cNvSpPr>
          </xdr:nvSpPr>
          <xdr:spPr>
            <a:xfrm>
              <a:off x="3314700" y="492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5.57904837963" createdVersion="8" refreshedVersion="8" minRefreshableVersion="3" recordCount="5" xr:uid="{66FF6FFC-7991-4E04-A5CD-F2A8B834853E}">
  <cacheSource type="worksheet">
    <worksheetSource ref="A1:G6" sheet="final data"/>
  </cacheSource>
  <cacheFields count="7">
    <cacheField name="clean_Order_Date " numFmtId="14">
      <sharedItems containsSemiMixedTypes="0" containsNonDate="0" containsDate="1" containsString="0" minDate="2025-01-01T00:00:00" maxDate="2025-01-04T00:00:00"/>
    </cacheField>
    <cacheField name="clean_ Customer_Name   " numFmtId="0">
      <sharedItems count="4">
        <s v="Rakesh"/>
        <s v="Anil"/>
        <s v="Suresh"/>
        <s v="Mahesh" u="1"/>
      </sharedItems>
    </cacheField>
    <cacheField name="clean_ Product        " numFmtId="0">
      <sharedItems count="4">
        <s v="Soap"/>
        <s v="Shampoo"/>
        <s v="Tooth Paste"/>
        <s v="Hair Oil" u="1"/>
      </sharedItems>
    </cacheField>
    <cacheField name="clean_ Category   " numFmtId="0">
      <sharedItems/>
    </cacheField>
    <cacheField name="clean_ Quantity " numFmtId="0">
      <sharedItems containsSemiMixedTypes="0" containsString="0" containsNumber="1" containsInteger="1" minValue="0" maxValue="3"/>
    </cacheField>
    <cacheField name="clean_ Unit_Price " numFmtId="0">
      <sharedItems containsMixedTypes="1" containsNumber="1" containsInteger="1" minValue="30" maxValue="120"/>
    </cacheField>
    <cacheField name="clean_ City" numFmtId="0">
      <sharedItems/>
    </cacheField>
  </cacheFields>
  <extLst>
    <ext xmlns:x14="http://schemas.microsoft.com/office/spreadsheetml/2009/9/main" uri="{725AE2AE-9491-48be-B2B4-4EB974FC3084}">
      <x14:pivotCacheDefinition pivotCacheId="3721791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5.580939699073" createdVersion="8" refreshedVersion="8" minRefreshableVersion="3" recordCount="5" xr:uid="{6F34A0F0-4557-404C-9FE7-CC4446C958AE}">
  <cacheSource type="worksheet">
    <worksheetSource ref="A1:H6" sheet="final data"/>
  </cacheSource>
  <cacheFields count="8">
    <cacheField name="clean_Order_Date " numFmtId="14">
      <sharedItems containsSemiMixedTypes="0" containsNonDate="0" containsDate="1" containsString="0" minDate="2025-01-01T00:00:00" maxDate="2025-01-05T00:00:00"/>
    </cacheField>
    <cacheField name="clean_ Customer_Name   " numFmtId="0">
      <sharedItems/>
    </cacheField>
    <cacheField name="clean_ Product        " numFmtId="0">
      <sharedItems count="4">
        <s v="Soap"/>
        <s v="Shampoo"/>
        <s v="Tooth Paste"/>
        <s v="Hair Oil"/>
      </sharedItems>
    </cacheField>
    <cacheField name="clean_ Category   " numFmtId="0">
      <sharedItems/>
    </cacheField>
    <cacheField name="clean_ Quantity " numFmtId="0">
      <sharedItems containsSemiMixedTypes="0" containsString="0" containsNumber="1" containsInteger="1" minValue="0" maxValue="5"/>
    </cacheField>
    <cacheField name="clean_ Unit_Price " numFmtId="0">
      <sharedItems containsMixedTypes="1" containsNumber="1" containsInteger="1" minValue="30" maxValue="120"/>
    </cacheField>
    <cacheField name="clean_ City" numFmtId="0">
      <sharedItems/>
    </cacheField>
    <cacheField name="Total_amount" numFmtId="0">
      <sharedItems containsSemiMixedTypes="0" containsString="0" containsNumber="1" containsInteger="1" minValue="0" maxValue="4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d v="2025-01-01T00:00:00"/>
    <x v="0"/>
    <x v="0"/>
    <s v="Fmcg"/>
    <n v="2"/>
    <n v="30"/>
    <s v="Hyderabad"/>
  </r>
  <r>
    <d v="2025-01-01T00:00:00"/>
    <x v="0"/>
    <x v="0"/>
    <s v="Fmcg"/>
    <n v="2"/>
    <n v="30"/>
    <s v="Hyderabad"/>
  </r>
  <r>
    <d v="2025-01-02T00:00:00"/>
    <x v="1"/>
    <x v="1"/>
    <s v="Fmcg"/>
    <n v="0"/>
    <n v="120"/>
    <s v="Mumbai"/>
  </r>
  <r>
    <d v="2025-01-02T00:00:00"/>
    <x v="1"/>
    <x v="1"/>
    <s v="Fmcg"/>
    <n v="1"/>
    <s v="0"/>
    <s v="Mumbai"/>
  </r>
  <r>
    <d v="2025-01-03T00:00:00"/>
    <x v="2"/>
    <x v="2"/>
    <s v="Fmcg"/>
    <n v="3"/>
    <n v="60"/>
    <s v="Chenna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d v="2025-01-01T00:00:00"/>
    <s v="Rakesh"/>
    <x v="0"/>
    <s v="Fmcg"/>
    <n v="2"/>
    <n v="30"/>
    <s v="Hyderabad"/>
    <n v="60"/>
  </r>
  <r>
    <d v="2025-01-02T00:00:00"/>
    <s v="Anil"/>
    <x v="1"/>
    <s v="Fmcg"/>
    <n v="0"/>
    <n v="120"/>
    <s v="Mumbai"/>
    <n v="0"/>
  </r>
  <r>
    <d v="2025-01-02T00:00:00"/>
    <s v="Anil"/>
    <x v="1"/>
    <s v="Fmcg"/>
    <n v="1"/>
    <s v="0"/>
    <s v="Mumbai"/>
    <n v="0"/>
  </r>
  <r>
    <d v="2025-01-03T00:00:00"/>
    <s v="Suresh"/>
    <x v="2"/>
    <s v="Fmcg"/>
    <n v="3"/>
    <n v="60"/>
    <s v="Chennai"/>
    <n v="180"/>
  </r>
  <r>
    <d v="2025-01-04T00:00:00"/>
    <s v="Mahesh"/>
    <x v="3"/>
    <s v="Fmcg"/>
    <n v="5"/>
    <n v="90"/>
    <s v="Bangalore"/>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A7030-42D3-407A-A83E-8EC57409B8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5:F7" firstHeaderRow="1" firstDataRow="1" firstDataCol="1"/>
  <pivotFields count="7">
    <pivotField numFmtId="14" showAll="0"/>
    <pivotField axis="axisRow" showAll="0" sortType="descending">
      <items count="5">
        <item h="1" x="1"/>
        <item h="1" m="1" x="3"/>
        <item x="0"/>
        <item h="1" x="2"/>
        <item t="default"/>
      </items>
      <autoSortScope>
        <pivotArea dataOnly="0" outline="0" fieldPosition="0">
          <references count="1">
            <reference field="4294967294" count="1" selected="0">
              <x v="0"/>
            </reference>
          </references>
        </pivotArea>
      </autoSortScope>
    </pivotField>
    <pivotField showAll="0">
      <items count="5">
        <item m="1" x="3"/>
        <item x="1"/>
        <item x="0"/>
        <item x="2"/>
        <item t="default"/>
      </items>
    </pivotField>
    <pivotField showAll="0"/>
    <pivotField dataField="1" showAll="0"/>
    <pivotField showAll="0"/>
    <pivotField showAll="0"/>
  </pivotFields>
  <rowFields count="1">
    <field x="1"/>
  </rowFields>
  <rowItems count="2">
    <i>
      <x v="2"/>
    </i>
    <i t="grand">
      <x/>
    </i>
  </rowItems>
  <colItems count="1">
    <i/>
  </colItems>
  <dataFields count="1">
    <dataField name="Sum of clean_ Quantity "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A9C1B-9193-4F38-B5D7-2A6C10EE27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7">
    <pivotField numFmtId="14" showAll="0"/>
    <pivotField axis="axisPage" multipleItemSelectionAllowed="1" showAll="0">
      <items count="5">
        <item x="1"/>
        <item m="1" x="3"/>
        <item x="0"/>
        <item x="2"/>
        <item t="default"/>
      </items>
    </pivotField>
    <pivotField axis="axisRow" showAll="0" measureFilter="1" sortType="descending">
      <items count="5">
        <item m="1" x="3"/>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2"/>
  </rowFields>
  <rowItems count="2">
    <i>
      <x v="2"/>
    </i>
    <i t="grand">
      <x/>
    </i>
  </rowItems>
  <colItems count="1">
    <i/>
  </colItems>
  <pageFields count="1">
    <pageField fld="1" hier="-1"/>
  </pageFields>
  <dataFields count="1">
    <dataField name="Sum of clean_ Quantity " fld="4" baseField="0" baseItem="0"/>
  </dataFields>
  <pivotTableStyleInfo name="PivotStyleLight16" showRowHeaders="1" showColHeaders="1" showRowStripes="0" showColStripes="0" showLastColumn="1"/>
  <filters count="1">
    <filter fld="2"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C18E9B-99CF-4278-9D6A-7D910E48B6D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8" firstHeaderRow="1" firstDataRow="1" firstDataCol="1"/>
  <pivotFields count="8">
    <pivotField numFmtId="14"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2"/>
  </rowFields>
  <rowItems count="5">
    <i>
      <x/>
    </i>
    <i>
      <x v="3"/>
    </i>
    <i>
      <x v="2"/>
    </i>
    <i>
      <x v="1"/>
    </i>
    <i t="grand">
      <x/>
    </i>
  </rowItems>
  <colItems count="1">
    <i/>
  </colItems>
  <dataFields count="1">
    <dataField name="Sum of Total_amount" fld="7"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_Customer_Name" xr10:uid="{DBC3214F-BF93-4ADC-85C4-D85DAF0D32E4}" sourceName="clean_ Customer_Name   ">
  <pivotTables>
    <pivotTable tabId="13" name="PivotTable2"/>
  </pivotTables>
  <data>
    <tabular pivotCacheId="372179174">
      <items count="4">
        <i x="1"/>
        <i x="0" s="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_Product" xr10:uid="{E73F8A8F-01B6-4661-8EBF-9F054A1B911C}" sourceName="clean_ Product        ">
  <pivotTables>
    <pivotTable tabId="13" name="PivotTable2"/>
  </pivotTables>
  <data>
    <tabular pivotCacheId="372179174">
      <items count="4">
        <i x="0" s="1"/>
        <i x="3" s="1" nd="1"/>
        <i x="1"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 Customer_Name   " xr10:uid="{AEFF2C89-CE72-4B76-93EA-443571547A48}" cache="Slicer_clean__Customer_Name" caption="clean_ Customer_Name   " rowHeight="234950"/>
  <slicer name="clean_ Product        " xr10:uid="{3DC41C3A-D2AA-4F7C-A0AF-85A804B86BA5}" cache="Slicer_clean__Product" caption="clean_ Product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18CEE-8EED-4DE9-828A-B4586D19063B}">
  <sheetPr codeName="Sheet1"/>
  <dimension ref="A1:G13"/>
  <sheetViews>
    <sheetView zoomScale="107" workbookViewId="0">
      <selection activeCell="D1" sqref="D1:D5"/>
    </sheetView>
  </sheetViews>
  <sheetFormatPr defaultRowHeight="14.4" x14ac:dyDescent="0.3"/>
  <cols>
    <col min="1" max="1" width="10.44140625" bestFit="1" customWidth="1"/>
    <col min="2" max="2" width="10.88671875" bestFit="1" customWidth="1"/>
    <col min="7" max="7" width="9.5546875" customWidth="1"/>
  </cols>
  <sheetData>
    <row r="1" spans="1:7" ht="15.6" x14ac:dyDescent="0.3">
      <c r="A1" s="4" t="s">
        <v>0</v>
      </c>
      <c r="B1" s="2" t="s">
        <v>1</v>
      </c>
      <c r="C1" s="3" t="s">
        <v>2</v>
      </c>
      <c r="D1" s="3" t="s">
        <v>3</v>
      </c>
      <c r="G1" s="1"/>
    </row>
    <row r="2" spans="1:7" x14ac:dyDescent="0.3">
      <c r="A2" s="5">
        <v>45658</v>
      </c>
      <c r="B2" t="s">
        <v>4</v>
      </c>
      <c r="C2">
        <v>5</v>
      </c>
      <c r="D2">
        <v>30</v>
      </c>
    </row>
    <row r="3" spans="1:7" x14ac:dyDescent="0.3">
      <c r="A3" s="5">
        <v>45658</v>
      </c>
      <c r="B3" t="s">
        <v>5</v>
      </c>
      <c r="C3">
        <v>2</v>
      </c>
      <c r="D3">
        <v>120</v>
      </c>
    </row>
    <row r="4" spans="1:7" x14ac:dyDescent="0.3">
      <c r="A4" s="5">
        <v>45659</v>
      </c>
      <c r="B4" t="s">
        <v>4</v>
      </c>
      <c r="C4">
        <v>3</v>
      </c>
      <c r="D4">
        <v>30</v>
      </c>
    </row>
    <row r="5" spans="1:7" x14ac:dyDescent="0.3">
      <c r="A5" s="5">
        <v>45659</v>
      </c>
      <c r="B5" t="s">
        <v>6</v>
      </c>
      <c r="C5">
        <v>4</v>
      </c>
      <c r="D5">
        <v>60</v>
      </c>
    </row>
    <row r="6" spans="1:7" x14ac:dyDescent="0.3">
      <c r="A6" s="5">
        <v>45660</v>
      </c>
      <c r="B6" t="s">
        <v>4</v>
      </c>
      <c r="C6">
        <v>5</v>
      </c>
      <c r="D6">
        <v>30</v>
      </c>
    </row>
    <row r="7" spans="1:7" x14ac:dyDescent="0.3">
      <c r="A7" s="5">
        <v>45660</v>
      </c>
      <c r="B7" t="s">
        <v>5</v>
      </c>
      <c r="C7">
        <v>2</v>
      </c>
      <c r="D7">
        <v>120</v>
      </c>
    </row>
    <row r="8" spans="1:7" x14ac:dyDescent="0.3">
      <c r="A8" s="5">
        <v>45661</v>
      </c>
      <c r="B8" t="s">
        <v>4</v>
      </c>
      <c r="C8">
        <v>3</v>
      </c>
      <c r="D8">
        <v>30</v>
      </c>
    </row>
    <row r="9" spans="1:7" x14ac:dyDescent="0.3">
      <c r="A9" s="5">
        <v>45662</v>
      </c>
      <c r="B9" t="s">
        <v>6</v>
      </c>
      <c r="C9">
        <v>4</v>
      </c>
      <c r="D9">
        <v>60</v>
      </c>
    </row>
    <row r="10" spans="1:7" x14ac:dyDescent="0.3">
      <c r="A10" s="5">
        <v>45662</v>
      </c>
      <c r="B10" t="s">
        <v>4</v>
      </c>
      <c r="C10">
        <v>5</v>
      </c>
      <c r="D10">
        <v>30</v>
      </c>
    </row>
    <row r="11" spans="1:7" x14ac:dyDescent="0.3">
      <c r="A11" s="5">
        <v>45663</v>
      </c>
      <c r="B11" t="s">
        <v>5</v>
      </c>
      <c r="C11">
        <v>2</v>
      </c>
      <c r="D11">
        <v>120</v>
      </c>
    </row>
    <row r="12" spans="1:7" x14ac:dyDescent="0.3">
      <c r="A12" s="5">
        <v>45663</v>
      </c>
      <c r="B12" t="s">
        <v>4</v>
      </c>
      <c r="C12">
        <v>3</v>
      </c>
      <c r="D12">
        <v>30</v>
      </c>
    </row>
    <row r="13" spans="1:7" x14ac:dyDescent="0.3">
      <c r="A13" s="5">
        <v>45663</v>
      </c>
      <c r="B13" t="s">
        <v>6</v>
      </c>
      <c r="C13">
        <v>4</v>
      </c>
      <c r="D13">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3233-FA9D-4C06-BBEA-8D8BAC84C11A}">
  <sheetPr codeName="Sheet2"/>
  <dimension ref="A1:H9"/>
  <sheetViews>
    <sheetView workbookViewId="0">
      <selection activeCell="H8" sqref="H8"/>
    </sheetView>
  </sheetViews>
  <sheetFormatPr defaultRowHeight="14.4" x14ac:dyDescent="0.3"/>
  <cols>
    <col min="1" max="1" width="10.33203125" bestFit="1" customWidth="1"/>
    <col min="6" max="6" width="12.6640625" bestFit="1" customWidth="1"/>
    <col min="7" max="7" width="13.109375" bestFit="1" customWidth="1"/>
  </cols>
  <sheetData>
    <row r="1" spans="1:8" ht="15.6" x14ac:dyDescent="0.3">
      <c r="A1" s="6" t="s">
        <v>8</v>
      </c>
      <c r="B1" s="7" t="s">
        <v>9</v>
      </c>
      <c r="C1" t="s">
        <v>10</v>
      </c>
      <c r="D1" t="s">
        <v>11</v>
      </c>
      <c r="F1" t="s">
        <v>7</v>
      </c>
      <c r="G1" t="s">
        <v>18</v>
      </c>
      <c r="H1" t="s">
        <v>19</v>
      </c>
    </row>
    <row r="2" spans="1:8" x14ac:dyDescent="0.3">
      <c r="A2" s="8">
        <v>45658</v>
      </c>
      <c r="B2" t="s">
        <v>12</v>
      </c>
      <c r="C2">
        <v>5</v>
      </c>
      <c r="D2">
        <v>30</v>
      </c>
      <c r="F2" t="str">
        <f t="shared" ref="F2:F9" si="0">PROPER(TRIM(B2))</f>
        <v>Soap</v>
      </c>
      <c r="G2">
        <f t="shared" ref="G2:G9" si="1">IF(C2="",0,C2)</f>
        <v>5</v>
      </c>
      <c r="H2">
        <f t="shared" ref="H2:H9" si="2">IF(ISNUMBER(D2),D2,"invalid")</f>
        <v>30</v>
      </c>
    </row>
    <row r="3" spans="1:8" x14ac:dyDescent="0.3">
      <c r="A3" s="8">
        <v>45658</v>
      </c>
      <c r="B3" t="s">
        <v>13</v>
      </c>
      <c r="C3">
        <v>2</v>
      </c>
      <c r="D3">
        <v>120</v>
      </c>
      <c r="F3" t="str">
        <f t="shared" si="0"/>
        <v>Shampoo</v>
      </c>
      <c r="G3">
        <f t="shared" si="1"/>
        <v>2</v>
      </c>
      <c r="H3">
        <f t="shared" si="2"/>
        <v>120</v>
      </c>
    </row>
    <row r="4" spans="1:8" x14ac:dyDescent="0.3">
      <c r="A4" s="8">
        <v>45659</v>
      </c>
      <c r="B4" t="s">
        <v>14</v>
      </c>
      <c r="C4">
        <v>3</v>
      </c>
      <c r="D4">
        <v>30</v>
      </c>
      <c r="F4" t="str">
        <f t="shared" si="0"/>
        <v>Soap</v>
      </c>
      <c r="G4">
        <f t="shared" si="1"/>
        <v>3</v>
      </c>
      <c r="H4">
        <f t="shared" si="2"/>
        <v>30</v>
      </c>
    </row>
    <row r="5" spans="1:8" x14ac:dyDescent="0.3">
      <c r="A5" s="8">
        <v>45659</v>
      </c>
      <c r="B5" t="s">
        <v>15</v>
      </c>
      <c r="C5">
        <v>4</v>
      </c>
      <c r="D5">
        <v>60</v>
      </c>
      <c r="F5" t="str">
        <f t="shared" si="0"/>
        <v>Toothpaste</v>
      </c>
      <c r="G5">
        <f t="shared" si="1"/>
        <v>4</v>
      </c>
      <c r="H5">
        <f t="shared" si="2"/>
        <v>60</v>
      </c>
    </row>
    <row r="6" spans="1:8" x14ac:dyDescent="0.3">
      <c r="A6" s="8">
        <v>45659</v>
      </c>
      <c r="B6" t="s">
        <v>16</v>
      </c>
      <c r="C6">
        <v>1</v>
      </c>
      <c r="D6">
        <v>120</v>
      </c>
      <c r="F6" t="str">
        <f t="shared" si="0"/>
        <v>Shampoo</v>
      </c>
      <c r="G6">
        <f t="shared" si="1"/>
        <v>1</v>
      </c>
      <c r="H6">
        <f t="shared" si="2"/>
        <v>120</v>
      </c>
    </row>
    <row r="7" spans="1:8" x14ac:dyDescent="0.3">
      <c r="A7" s="8">
        <v>45660</v>
      </c>
      <c r="B7" t="s">
        <v>14</v>
      </c>
      <c r="D7">
        <v>30</v>
      </c>
      <c r="F7" t="str">
        <f t="shared" si="0"/>
        <v>Soap</v>
      </c>
      <c r="G7">
        <f t="shared" si="1"/>
        <v>0</v>
      </c>
      <c r="H7">
        <f t="shared" si="2"/>
        <v>30</v>
      </c>
    </row>
    <row r="8" spans="1:8" x14ac:dyDescent="0.3">
      <c r="A8" s="8">
        <v>45660</v>
      </c>
      <c r="B8" t="s">
        <v>13</v>
      </c>
      <c r="C8">
        <v>2</v>
      </c>
      <c r="D8" t="s">
        <v>17</v>
      </c>
      <c r="F8" t="str">
        <f t="shared" si="0"/>
        <v>Shampoo</v>
      </c>
      <c r="G8">
        <f t="shared" si="1"/>
        <v>2</v>
      </c>
      <c r="H8" t="str">
        <f t="shared" si="2"/>
        <v>invalid</v>
      </c>
    </row>
    <row r="9" spans="1:8" x14ac:dyDescent="0.3">
      <c r="A9" s="8">
        <v>45660</v>
      </c>
      <c r="B9" t="s">
        <v>14</v>
      </c>
      <c r="C9">
        <v>5</v>
      </c>
      <c r="D9">
        <v>30</v>
      </c>
      <c r="F9" t="str">
        <f t="shared" si="0"/>
        <v>Soap</v>
      </c>
      <c r="G9">
        <f t="shared" si="1"/>
        <v>5</v>
      </c>
      <c r="H9">
        <f t="shared" si="2"/>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F4A6-15A4-4474-A002-19D793DBB011}">
  <sheetPr codeName="Sheet3"/>
  <dimension ref="A1:M8"/>
  <sheetViews>
    <sheetView workbookViewId="0">
      <selection activeCell="G2" sqref="G2"/>
    </sheetView>
  </sheetViews>
  <sheetFormatPr defaultRowHeight="14.4" x14ac:dyDescent="0.3"/>
  <cols>
    <col min="1" max="1" width="11" bestFit="1" customWidth="1"/>
    <col min="6" max="6" width="11.109375" bestFit="1" customWidth="1"/>
    <col min="7" max="7" width="10.6640625" bestFit="1" customWidth="1"/>
    <col min="8" max="8" width="12.88671875" bestFit="1" customWidth="1"/>
    <col min="9" max="9" width="12.6640625" customWidth="1"/>
    <col min="10" max="10" width="13.109375" bestFit="1" customWidth="1"/>
    <col min="11" max="11" width="15" bestFit="1" customWidth="1"/>
  </cols>
  <sheetData>
    <row r="1" spans="1:13" x14ac:dyDescent="0.3">
      <c r="A1" t="s">
        <v>20</v>
      </c>
      <c r="B1" t="s">
        <v>21</v>
      </c>
      <c r="C1" t="s">
        <v>9</v>
      </c>
      <c r="D1" t="s">
        <v>22</v>
      </c>
      <c r="E1" t="s">
        <v>10</v>
      </c>
      <c r="F1" t="s">
        <v>23</v>
      </c>
      <c r="G1" t="s">
        <v>24</v>
      </c>
      <c r="H1" t="s">
        <v>41</v>
      </c>
      <c r="I1" t="s">
        <v>7</v>
      </c>
      <c r="J1" t="s">
        <v>18</v>
      </c>
      <c r="K1" t="s">
        <v>42</v>
      </c>
      <c r="L1" t="s">
        <v>48</v>
      </c>
      <c r="M1" t="s">
        <v>51</v>
      </c>
    </row>
    <row r="2" spans="1:13" x14ac:dyDescent="0.3">
      <c r="A2" s="8">
        <v>45658</v>
      </c>
      <c r="B2" t="s">
        <v>25</v>
      </c>
      <c r="C2" t="s">
        <v>12</v>
      </c>
      <c r="D2" t="s">
        <v>26</v>
      </c>
      <c r="E2">
        <v>2</v>
      </c>
      <c r="F2">
        <v>30</v>
      </c>
      <c r="G2" t="s">
        <v>27</v>
      </c>
      <c r="H2" t="s">
        <v>47</v>
      </c>
      <c r="I2" t="s">
        <v>4</v>
      </c>
      <c r="J2">
        <v>2</v>
      </c>
      <c r="K2">
        <v>30</v>
      </c>
      <c r="L2">
        <f>LEN(H2)</f>
        <v>6</v>
      </c>
      <c r="M2">
        <f>J2*K2</f>
        <v>60</v>
      </c>
    </row>
    <row r="3" spans="1:13" x14ac:dyDescent="0.3">
      <c r="A3" s="8">
        <v>45658</v>
      </c>
      <c r="B3" t="s">
        <v>28</v>
      </c>
      <c r="C3" t="s">
        <v>14</v>
      </c>
      <c r="D3" t="s">
        <v>29</v>
      </c>
      <c r="E3">
        <v>2</v>
      </c>
      <c r="F3">
        <v>30</v>
      </c>
      <c r="G3" t="s">
        <v>30</v>
      </c>
      <c r="H3" t="s">
        <v>46</v>
      </c>
      <c r="I3" t="s">
        <v>5</v>
      </c>
      <c r="J3">
        <v>0</v>
      </c>
      <c r="K3">
        <v>120</v>
      </c>
      <c r="L3">
        <f>LEN(H3)</f>
        <v>4</v>
      </c>
      <c r="M3">
        <f t="shared" ref="M3:M6" si="0">J3*K3</f>
        <v>0</v>
      </c>
    </row>
    <row r="4" spans="1:13" x14ac:dyDescent="0.3">
      <c r="A4" s="8">
        <v>45659</v>
      </c>
      <c r="B4" t="s">
        <v>31</v>
      </c>
      <c r="C4" t="s">
        <v>13</v>
      </c>
      <c r="D4" t="s">
        <v>29</v>
      </c>
      <c r="F4">
        <v>120</v>
      </c>
      <c r="G4" t="s">
        <v>32</v>
      </c>
      <c r="H4" t="s">
        <v>46</v>
      </c>
      <c r="I4" t="s">
        <v>5</v>
      </c>
      <c r="J4">
        <v>1</v>
      </c>
      <c r="K4" t="s">
        <v>45</v>
      </c>
      <c r="M4" t="e">
        <f t="shared" si="0"/>
        <v>#VALUE!</v>
      </c>
    </row>
    <row r="5" spans="1:13" x14ac:dyDescent="0.3">
      <c r="A5" s="8">
        <v>45659</v>
      </c>
      <c r="B5" t="s">
        <v>33</v>
      </c>
      <c r="C5" t="s">
        <v>13</v>
      </c>
      <c r="D5" t="s">
        <v>26</v>
      </c>
      <c r="E5">
        <v>1</v>
      </c>
      <c r="F5" t="s">
        <v>34</v>
      </c>
      <c r="G5" t="s">
        <v>32</v>
      </c>
      <c r="H5" t="s">
        <v>44</v>
      </c>
      <c r="I5" t="s">
        <v>43</v>
      </c>
      <c r="J5">
        <v>3</v>
      </c>
      <c r="K5">
        <v>60</v>
      </c>
      <c r="M5">
        <f t="shared" si="0"/>
        <v>180</v>
      </c>
    </row>
    <row r="6" spans="1:13" x14ac:dyDescent="0.3">
      <c r="A6" s="8">
        <v>45660</v>
      </c>
      <c r="B6" t="s">
        <v>35</v>
      </c>
      <c r="C6" t="s">
        <v>36</v>
      </c>
      <c r="D6" t="s">
        <v>26</v>
      </c>
      <c r="E6">
        <v>3</v>
      </c>
      <c r="F6">
        <v>60</v>
      </c>
      <c r="G6" t="s">
        <v>37</v>
      </c>
      <c r="M6">
        <f t="shared" si="0"/>
        <v>0</v>
      </c>
    </row>
    <row r="7" spans="1:13" x14ac:dyDescent="0.3">
      <c r="A7" s="8">
        <v>45660</v>
      </c>
      <c r="B7" t="s">
        <v>35</v>
      </c>
      <c r="C7" t="s">
        <v>36</v>
      </c>
      <c r="D7" t="s">
        <v>26</v>
      </c>
      <c r="E7">
        <v>3</v>
      </c>
      <c r="F7">
        <v>60</v>
      </c>
      <c r="G7" t="s">
        <v>37</v>
      </c>
    </row>
    <row r="8" spans="1:13" x14ac:dyDescent="0.3">
      <c r="A8" s="8">
        <v>45661</v>
      </c>
      <c r="B8" t="s">
        <v>38</v>
      </c>
      <c r="C8" t="s">
        <v>39</v>
      </c>
      <c r="D8" t="s">
        <v>29</v>
      </c>
      <c r="E8">
        <v>5</v>
      </c>
      <c r="F8">
        <v>90</v>
      </c>
      <c r="G8"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95E3-CFFC-400C-97A9-7DFC797B346D}">
  <sheetPr codeName="Sheet4"/>
  <dimension ref="A1:G10"/>
  <sheetViews>
    <sheetView workbookViewId="0">
      <selection activeCell="A7" sqref="A7:A8"/>
    </sheetView>
  </sheetViews>
  <sheetFormatPr defaultRowHeight="14.4" x14ac:dyDescent="0.3"/>
  <cols>
    <col min="1" max="1" width="16.44140625" bestFit="1" customWidth="1"/>
    <col min="2" max="2" width="22.21875" bestFit="1" customWidth="1"/>
    <col min="3" max="3" width="16.77734375" bestFit="1" customWidth="1"/>
    <col min="4" max="4" width="15.5546875" bestFit="1" customWidth="1"/>
    <col min="5" max="5" width="14.33203125" bestFit="1" customWidth="1"/>
    <col min="6" max="6" width="15.77734375" bestFit="1" customWidth="1"/>
    <col min="7" max="7" width="9.88671875" bestFit="1" customWidth="1"/>
  </cols>
  <sheetData>
    <row r="1" spans="1:7" ht="15.6" x14ac:dyDescent="0.3">
      <c r="A1" s="11" t="s">
        <v>52</v>
      </c>
      <c r="B1" s="1" t="s">
        <v>53</v>
      </c>
      <c r="C1" s="1" t="s">
        <v>54</v>
      </c>
      <c r="D1" s="1" t="s">
        <v>55</v>
      </c>
      <c r="E1" s="1" t="s">
        <v>56</v>
      </c>
      <c r="F1" s="1" t="s">
        <v>57</v>
      </c>
      <c r="G1" s="1" t="s">
        <v>58</v>
      </c>
    </row>
    <row r="2" spans="1:7" x14ac:dyDescent="0.3">
      <c r="A2" s="12">
        <v>45658</v>
      </c>
      <c r="B2" t="str">
        <f>PROPER(TRIM('raw data'!B2))</f>
        <v>Rakesh</v>
      </c>
      <c r="C2" t="str">
        <f>PROPER(TRIM('raw data'!C2))</f>
        <v>Soap</v>
      </c>
      <c r="D2" t="str">
        <f>PROPER(TRIM('raw data'!D2))</f>
        <v>Fmcg</v>
      </c>
      <c r="E2">
        <f>IF('raw data'!E2="",0,'raw data'!E2)</f>
        <v>2</v>
      </c>
      <c r="F2" s="14">
        <f>IF(ISNUMBER('raw data'!F2),'raw data'!F2,"0")</f>
        <v>30</v>
      </c>
      <c r="G2" t="str">
        <f>PROPER(TRIM('raw data'!G2))</f>
        <v>Hyderabad</v>
      </c>
    </row>
    <row r="3" spans="1:7" x14ac:dyDescent="0.3">
      <c r="A3" s="12">
        <v>45658</v>
      </c>
      <c r="B3" t="str">
        <f>PROPER(TRIM('raw data'!B3))</f>
        <v>Rakesh</v>
      </c>
      <c r="C3" t="str">
        <f>PROPER(TRIM('raw data'!C3))</f>
        <v>Soap</v>
      </c>
      <c r="D3" t="str">
        <f>PROPER(TRIM('raw data'!D3))</f>
        <v>Fmcg</v>
      </c>
      <c r="E3">
        <f>IF('raw data'!E3="",0,'raw data'!E3)</f>
        <v>2</v>
      </c>
      <c r="F3" s="14">
        <f>IF(ISNUMBER('raw data'!F3),'raw data'!F3,"0")</f>
        <v>30</v>
      </c>
      <c r="G3" t="str">
        <f>PROPER(TRIM('raw data'!G3))</f>
        <v>Hyderabad</v>
      </c>
    </row>
    <row r="4" spans="1:7" x14ac:dyDescent="0.3">
      <c r="A4" s="12">
        <v>45659</v>
      </c>
      <c r="B4" t="str">
        <f>PROPER(TRIM('raw data'!B4))</f>
        <v>Anil</v>
      </c>
      <c r="C4" t="str">
        <f>PROPER(TRIM('raw data'!C4))</f>
        <v>Shampoo</v>
      </c>
      <c r="D4" t="str">
        <f>PROPER(TRIM('raw data'!D4))</f>
        <v>Fmcg</v>
      </c>
      <c r="E4">
        <f>IF('raw data'!E4="",0,'raw data'!E4)</f>
        <v>0</v>
      </c>
      <c r="F4" s="14">
        <f>IF(ISNUMBER('raw data'!F4),'raw data'!F4,"0")</f>
        <v>120</v>
      </c>
      <c r="G4" t="str">
        <f>PROPER(TRIM('raw data'!G4))</f>
        <v>Mumbai</v>
      </c>
    </row>
    <row r="5" spans="1:7" x14ac:dyDescent="0.3">
      <c r="A5" s="12">
        <v>45659</v>
      </c>
      <c r="B5" t="str">
        <f>PROPER(TRIM('raw data'!B5))</f>
        <v>Anil</v>
      </c>
      <c r="C5" t="str">
        <f>PROPER(TRIM('raw data'!C5))</f>
        <v>Shampoo</v>
      </c>
      <c r="D5" t="str">
        <f>PROPER(TRIM('raw data'!D5))</f>
        <v>Fmcg</v>
      </c>
      <c r="E5">
        <f>IF('raw data'!E5="",0,'raw data'!E5)</f>
        <v>1</v>
      </c>
      <c r="F5" s="14" t="str">
        <f>IF(ISNUMBER('raw data'!F5),'raw data'!F5,"0")</f>
        <v>0</v>
      </c>
      <c r="G5" t="str">
        <f>PROPER(TRIM('raw data'!G5))</f>
        <v>Mumbai</v>
      </c>
    </row>
    <row r="6" spans="1:7" x14ac:dyDescent="0.3">
      <c r="A6" s="12">
        <v>45660</v>
      </c>
      <c r="B6" t="str">
        <f>PROPER(TRIM('raw data'!B6))</f>
        <v>Suresh</v>
      </c>
      <c r="C6" t="str">
        <f>PROPER(TRIM('raw data'!C6))</f>
        <v>Tooth Paste</v>
      </c>
      <c r="D6" t="str">
        <f>PROPER(TRIM('raw data'!D6))</f>
        <v>Fmcg</v>
      </c>
      <c r="E6">
        <f>IF('raw data'!E6="",0,'raw data'!E6)</f>
        <v>3</v>
      </c>
      <c r="F6" s="14">
        <f>IF(ISNUMBER('raw data'!F6),'raw data'!F6,"0")</f>
        <v>60</v>
      </c>
      <c r="G6" t="str">
        <f>PROPER(TRIM('raw data'!G6))</f>
        <v>Chennai</v>
      </c>
    </row>
    <row r="7" spans="1:7" x14ac:dyDescent="0.3">
      <c r="A7" s="12">
        <v>45660</v>
      </c>
      <c r="B7" t="str">
        <f>PROPER(TRIM('raw data'!B7))</f>
        <v>Suresh</v>
      </c>
      <c r="C7" t="str">
        <f>PROPER(TRIM('raw data'!C7))</f>
        <v>Tooth Paste</v>
      </c>
      <c r="D7" t="str">
        <f>PROPER(TRIM('raw data'!D7))</f>
        <v>Fmcg</v>
      </c>
      <c r="E7">
        <f>IF('raw data'!E7="",0,'raw data'!E7)</f>
        <v>3</v>
      </c>
      <c r="F7" s="14">
        <f>IF(ISNUMBER('raw data'!F7),'raw data'!F7,"0")</f>
        <v>60</v>
      </c>
      <c r="G7" t="str">
        <f>PROPER(TRIM('raw data'!G7))</f>
        <v>Chennai</v>
      </c>
    </row>
    <row r="8" spans="1:7" x14ac:dyDescent="0.3">
      <c r="A8" s="12">
        <v>45661</v>
      </c>
      <c r="B8" t="str">
        <f>PROPER(TRIM('raw data'!B8))</f>
        <v>Mahesh</v>
      </c>
      <c r="C8" t="str">
        <f>PROPER(TRIM('raw data'!C8))</f>
        <v>Hair Oil</v>
      </c>
      <c r="D8" t="str">
        <f>PROPER(TRIM('raw data'!D8))</f>
        <v>Fmcg</v>
      </c>
      <c r="E8">
        <f>IF('raw data'!E8="",0,'raw data'!E8)</f>
        <v>5</v>
      </c>
      <c r="F8" s="14">
        <f>IF(ISNUMBER('raw data'!F8),'raw data'!F8,"0")</f>
        <v>90</v>
      </c>
      <c r="G8" t="str">
        <f>PROPER(TRIM('raw data'!G8))</f>
        <v>Bangalore</v>
      </c>
    </row>
    <row r="9" spans="1:7" x14ac:dyDescent="0.3">
      <c r="A9" s="13"/>
    </row>
    <row r="10" spans="1:7" x14ac:dyDescent="0.3">
      <c r="A1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7BD76-1EE3-4D94-852E-4B1343979014}">
  <sheetPr codeName="Sheet6"/>
  <dimension ref="A1:I8"/>
  <sheetViews>
    <sheetView tabSelected="1" topLeftCell="A12" workbookViewId="0">
      <selection activeCell="E32" sqref="E32"/>
    </sheetView>
  </sheetViews>
  <sheetFormatPr defaultRowHeight="14.4" x14ac:dyDescent="0.3"/>
  <cols>
    <col min="1" max="1" width="22.21875" bestFit="1" customWidth="1"/>
    <col min="2" max="2" width="21.44140625" bestFit="1" customWidth="1"/>
    <col min="5" max="5" width="12.5546875" bestFit="1" customWidth="1"/>
    <col min="6" max="6" width="21.44140625" bestFit="1" customWidth="1"/>
    <col min="8" max="8" width="12.5546875" bestFit="1" customWidth="1"/>
    <col min="9" max="9" width="19.5546875" bestFit="1" customWidth="1"/>
    <col min="10" max="10" width="22" bestFit="1" customWidth="1"/>
  </cols>
  <sheetData>
    <row r="1" spans="1:9" x14ac:dyDescent="0.3">
      <c r="A1" s="9" t="s">
        <v>53</v>
      </c>
      <c r="B1" t="s">
        <v>68</v>
      </c>
    </row>
    <row r="3" spans="1:9" x14ac:dyDescent="0.3">
      <c r="A3" s="9" t="s">
        <v>49</v>
      </c>
      <c r="B3" t="s">
        <v>66</v>
      </c>
      <c r="H3" s="9" t="s">
        <v>49</v>
      </c>
      <c r="I3" t="s">
        <v>69</v>
      </c>
    </row>
    <row r="4" spans="1:9" x14ac:dyDescent="0.3">
      <c r="A4" s="10" t="s">
        <v>4</v>
      </c>
      <c r="B4">
        <v>4</v>
      </c>
      <c r="H4" s="10" t="s">
        <v>64</v>
      </c>
      <c r="I4" s="15">
        <v>450</v>
      </c>
    </row>
    <row r="5" spans="1:9" x14ac:dyDescent="0.3">
      <c r="A5" s="10" t="s">
        <v>50</v>
      </c>
      <c r="B5">
        <v>4</v>
      </c>
      <c r="E5" s="9" t="s">
        <v>49</v>
      </c>
      <c r="F5" t="s">
        <v>66</v>
      </c>
      <c r="H5" s="10" t="s">
        <v>43</v>
      </c>
      <c r="I5" s="15">
        <v>180</v>
      </c>
    </row>
    <row r="6" spans="1:9" x14ac:dyDescent="0.3">
      <c r="E6" s="10" t="s">
        <v>47</v>
      </c>
      <c r="F6" s="15">
        <v>4</v>
      </c>
      <c r="H6" s="10" t="s">
        <v>4</v>
      </c>
      <c r="I6" s="15">
        <v>60</v>
      </c>
    </row>
    <row r="7" spans="1:9" x14ac:dyDescent="0.3">
      <c r="E7" s="10" t="s">
        <v>50</v>
      </c>
      <c r="F7" s="15">
        <v>4</v>
      </c>
      <c r="H7" s="10" t="s">
        <v>5</v>
      </c>
      <c r="I7" s="15">
        <v>0</v>
      </c>
    </row>
    <row r="8" spans="1:9" x14ac:dyDescent="0.3">
      <c r="H8" s="10" t="s">
        <v>50</v>
      </c>
      <c r="I8" s="15">
        <v>690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31F1-933D-48B9-AD55-CB5A5A8D72BD}">
  <sheetPr codeName="Sheet7"/>
  <dimension ref="A1:H6"/>
  <sheetViews>
    <sheetView workbookViewId="0">
      <selection activeCell="I2" sqref="I2"/>
    </sheetView>
  </sheetViews>
  <sheetFormatPr defaultRowHeight="14.4" x14ac:dyDescent="0.3"/>
  <cols>
    <col min="1" max="1" width="18.77734375" bestFit="1" customWidth="1"/>
    <col min="2" max="2" width="25.109375" bestFit="1" customWidth="1"/>
    <col min="3" max="3" width="19.5546875" bestFit="1" customWidth="1"/>
    <col min="4" max="4" width="17.6640625" bestFit="1" customWidth="1"/>
    <col min="5" max="5" width="16.44140625" bestFit="1" customWidth="1"/>
    <col min="6" max="6" width="18" bestFit="1" customWidth="1"/>
    <col min="7" max="7" width="11.109375" bestFit="1" customWidth="1"/>
    <col min="8" max="8" width="14.33203125" bestFit="1" customWidth="1"/>
    <col min="9" max="9" width="12.6640625" bestFit="1" customWidth="1"/>
    <col min="10" max="10" width="7.5546875" bestFit="1" customWidth="1"/>
    <col min="11" max="11" width="4.88671875" bestFit="1" customWidth="1"/>
    <col min="12" max="12" width="5.88671875" bestFit="1" customWidth="1"/>
    <col min="13" max="13" width="5.5546875" bestFit="1" customWidth="1"/>
  </cols>
  <sheetData>
    <row r="1" spans="1:8" ht="15.6" x14ac:dyDescent="0.3">
      <c r="A1" s="11" t="s">
        <v>52</v>
      </c>
      <c r="B1" s="1" t="s">
        <v>53</v>
      </c>
      <c r="C1" s="1" t="s">
        <v>54</v>
      </c>
      <c r="D1" s="1" t="s">
        <v>55</v>
      </c>
      <c r="E1" s="1" t="s">
        <v>56</v>
      </c>
      <c r="F1" s="1" t="s">
        <v>57</v>
      </c>
      <c r="G1" s="1" t="s">
        <v>58</v>
      </c>
      <c r="H1" s="1" t="s">
        <v>67</v>
      </c>
    </row>
    <row r="2" spans="1:8" x14ac:dyDescent="0.3">
      <c r="A2" s="12">
        <v>45658</v>
      </c>
      <c r="B2" t="s">
        <v>47</v>
      </c>
      <c r="C2" t="s">
        <v>4</v>
      </c>
      <c r="D2" t="s">
        <v>59</v>
      </c>
      <c r="E2">
        <v>2</v>
      </c>
      <c r="F2">
        <v>30</v>
      </c>
      <c r="G2" t="s">
        <v>60</v>
      </c>
      <c r="H2">
        <f>E2*F2</f>
        <v>60</v>
      </c>
    </row>
    <row r="3" spans="1:8" x14ac:dyDescent="0.3">
      <c r="A3" s="12">
        <v>45659</v>
      </c>
      <c r="B3" t="s">
        <v>46</v>
      </c>
      <c r="C3" t="s">
        <v>5</v>
      </c>
      <c r="D3" t="s">
        <v>59</v>
      </c>
      <c r="E3">
        <v>0</v>
      </c>
      <c r="F3">
        <v>120</v>
      </c>
      <c r="G3" t="s">
        <v>61</v>
      </c>
      <c r="H3">
        <f>E3*F3</f>
        <v>0</v>
      </c>
    </row>
    <row r="4" spans="1:8" x14ac:dyDescent="0.3">
      <c r="A4" s="12">
        <v>45659</v>
      </c>
      <c r="B4" t="s">
        <v>46</v>
      </c>
      <c r="C4" t="s">
        <v>5</v>
      </c>
      <c r="D4" t="s">
        <v>59</v>
      </c>
      <c r="E4">
        <v>1</v>
      </c>
      <c r="F4" s="14" t="s">
        <v>70</v>
      </c>
      <c r="G4" t="s">
        <v>61</v>
      </c>
      <c r="H4">
        <f>E4*F4</f>
        <v>0</v>
      </c>
    </row>
    <row r="5" spans="1:8" x14ac:dyDescent="0.3">
      <c r="A5" s="12">
        <v>45660</v>
      </c>
      <c r="B5" t="s">
        <v>44</v>
      </c>
      <c r="C5" t="s">
        <v>43</v>
      </c>
      <c r="D5" t="s">
        <v>59</v>
      </c>
      <c r="E5">
        <v>3</v>
      </c>
      <c r="F5">
        <v>60</v>
      </c>
      <c r="G5" t="s">
        <v>62</v>
      </c>
      <c r="H5">
        <f>E5*F5</f>
        <v>180</v>
      </c>
    </row>
    <row r="6" spans="1:8" x14ac:dyDescent="0.3">
      <c r="A6" s="12">
        <v>45661</v>
      </c>
      <c r="B6" t="s">
        <v>63</v>
      </c>
      <c r="C6" t="s">
        <v>64</v>
      </c>
      <c r="D6" t="s">
        <v>59</v>
      </c>
      <c r="E6">
        <v>5</v>
      </c>
      <c r="F6">
        <v>90</v>
      </c>
      <c r="G6" t="s">
        <v>65</v>
      </c>
      <c r="H6">
        <f>E6*F6</f>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raw data</vt:lpstr>
      <vt:lpstr>clean data</vt:lpstr>
      <vt:lpstr>pivot</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g</dc:creator>
  <cp:lastModifiedBy>rakesh goud</cp:lastModifiedBy>
  <dcterms:created xsi:type="dcterms:W3CDTF">2025-12-22T13:00:15Z</dcterms:created>
  <dcterms:modified xsi:type="dcterms:W3CDTF">2025-12-25T16:21:29Z</dcterms:modified>
</cp:coreProperties>
</file>